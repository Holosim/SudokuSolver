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_Dev\GIT\SudokuSolver\docs\02_Stakeholder_Need\"/>
    </mc:Choice>
  </mc:AlternateContent>
  <xr:revisionPtr revIDLastSave="0" documentId="13_ncr:1_{B4AC5E4F-D72B-4255-BAAD-5E3BDF3FC688}" xr6:coauthVersionLast="47" xr6:coauthVersionMax="47" xr10:uidLastSave="{00000000-0000-0000-0000-000000000000}"/>
  <bookViews>
    <workbookView xWindow="-110" yWindow="-110" windowWidth="38620" windowHeight="21100" activeTab="11" xr2:uid="{1729F798-C1FD-480C-A8AA-CC79E52793C5}"/>
  </bookViews>
  <sheets>
    <sheet name="Documents List" sheetId="8" r:id="rId1"/>
    <sheet name="Mission-Value Statement" sheetId="10" r:id="rId2"/>
    <sheet name="StakeholderAnalysis" sheetId="12" r:id="rId3"/>
    <sheet name="Stakeholder Need" sheetId="2" r:id="rId4"/>
    <sheet name="RTVM" sheetId="1" r:id="rId5"/>
    <sheet name="Phase 1 - Tick_Based_PseudoCode" sheetId="3" r:id="rId6"/>
    <sheet name="Phase 2 - Event_Based_PseudoCod" sheetId="4" r:id="rId7"/>
    <sheet name="Sample Configuration File" sheetId="5" r:id="rId8"/>
    <sheet name="Sample Output File" sheetId="6" r:id="rId9"/>
    <sheet name="Sample Report File" sheetId="7" r:id="rId10"/>
    <sheet name="C# Scaffolding" sheetId="9" r:id="rId11"/>
    <sheet name="Sources" sheetId="11"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2" l="1"/>
  <c r="A7" i="12"/>
  <c r="A6" i="12"/>
  <c r="A5" i="12"/>
  <c r="A4" i="12"/>
  <c r="A3" i="12"/>
  <c r="A10" i="8"/>
  <c r="A12" i="8"/>
  <c r="A14" i="8"/>
  <c r="A16" i="8"/>
  <c r="A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Kyle Simmons</author>
  </authors>
  <commentList>
    <comment ref="B3" authorId="0" shapeId="0" xr:uid="{F8E8B12A-EF0C-4F75-9EF9-055628A77CD5}">
      <text>
        <r>
          <rPr>
            <b/>
            <sz val="9"/>
            <color indexed="81"/>
            <rFont val="Tahoma"/>
            <family val="2"/>
          </rPr>
          <t>Kyle Simmons:</t>
        </r>
        <r>
          <rPr>
            <sz val="9"/>
            <color indexed="81"/>
            <rFont val="Tahoma"/>
            <family val="2"/>
          </rPr>
          <t xml:space="preserve">
Document the mission, value proposition and high‑level objectives as above. Identify stakeholders and their concerns; set measures of success (95th‑percentile and average wait times).</t>
        </r>
      </text>
    </comment>
    <comment ref="C3" authorId="0" shapeId="0" xr:uid="{5340ED1C-B8A5-47D3-A803-BA92A06A75CB}">
      <text>
        <r>
          <rPr>
            <b/>
            <sz val="9"/>
            <color indexed="81"/>
            <rFont val="Tahoma"/>
          </rPr>
          <t>Kyle Simmons:</t>
        </r>
        <r>
          <rPr>
            <sz val="9"/>
            <color indexed="81"/>
            <rFont val="Tahoma"/>
          </rPr>
          <t xml:space="preserve">
Articulate the value proposition for building the simulator. This can later be represented in SysML requirements as high-level objectives or "shall" statements for traceability.
This aligns with the SEBoK, which says that the first Concept‑Definition process is Business or Mission Analysis; its purpose is to define the overall strategic problem or opportunity, identify why the system is needed and what value it will bring, and develop the mission, goals, objectives and measures of success.  </t>
        </r>
      </text>
    </comment>
    <comment ref="C4" authorId="0" shapeId="0" xr:uid="{C1D958D5-B5F0-4C59-BA5D-290397FCD8FA}">
      <text>
        <r>
          <rPr>
            <b/>
            <sz val="9"/>
            <color indexed="81"/>
            <rFont val="Tahoma"/>
          </rPr>
          <t>Kyle Simmons:</t>
        </r>
        <r>
          <rPr>
            <sz val="9"/>
            <color indexed="81"/>
            <rFont val="Tahoma"/>
          </rPr>
          <t xml:space="preserve">
Identify who will benefit, and determine the business or research questions that the simulator must answer. SEBoK points out that this mission analysis step should also define the high‑level goals, objectives and measures that will be used to judge success.</t>
        </r>
      </text>
    </comment>
    <comment ref="B10" authorId="0" shapeId="0" xr:uid="{7712E427-8ED4-466A-8518-024A753F8481}">
      <text>
        <r>
          <rPr>
            <b/>
            <sz val="9"/>
            <color indexed="81"/>
            <rFont val="Tahoma"/>
            <family val="2"/>
          </rPr>
          <t>Kyle Simmons:</t>
        </r>
        <r>
          <rPr>
            <sz val="9"/>
            <color indexed="81"/>
            <rFont val="Tahoma"/>
            <family val="2"/>
          </rPr>
          <t xml:space="preserve">
Translate stakeholder concerns into needs (e.g., ability to vary elevator count, need to log and analyse performance). Capture these needs in high‑level SysML requirements.</t>
        </r>
      </text>
    </comment>
    <comment ref="C10" authorId="0" shapeId="0" xr:uid="{98219681-D9C0-412C-A0BC-4901CEF1A63A}">
      <text>
        <r>
          <rPr>
            <b/>
            <sz val="9"/>
            <color indexed="81"/>
            <rFont val="Tahoma"/>
          </rPr>
          <t>Kyle Simmons:</t>
        </r>
        <r>
          <rPr>
            <sz val="9"/>
            <color indexed="81"/>
            <rFont val="Tahoma"/>
          </rPr>
          <t xml:space="preserve">
capture stakeholder needs (what capabilities each group expects from the simulator), then derive system requirements from those needs.</t>
        </r>
      </text>
    </comment>
    <comment ref="B12" authorId="0" shapeId="0" xr:uid="{2802E53E-E36E-4A97-9801-43CD484101B4}">
      <text>
        <r>
          <rPr>
            <b/>
            <sz val="9"/>
            <color indexed="81"/>
            <rFont val="Tahoma"/>
            <family val="2"/>
          </rPr>
          <t>Kyle Simmons:</t>
        </r>
        <r>
          <rPr>
            <sz val="9"/>
            <color indexed="81"/>
            <rFont val="Tahoma"/>
            <family val="2"/>
          </rPr>
          <t xml:space="preserve">
Derive detailed functional, performance, interface and quality requirements from the needs; ensure traceability between each requirement and the stakeholder need or mission objective.</t>
        </r>
      </text>
    </comment>
    <comment ref="C12" authorId="0" shapeId="0" xr:uid="{38C80CF5-96CD-4277-B6D6-97FDD318B1B4}">
      <text>
        <r>
          <rPr>
            <b/>
            <sz val="9"/>
            <color indexed="81"/>
            <rFont val="Tahoma"/>
          </rPr>
          <t>Kyle Simmons:</t>
        </r>
        <r>
          <rPr>
            <sz val="9"/>
            <color indexed="81"/>
            <rFont val="Tahoma"/>
          </rPr>
          <t xml:space="preserve">
Measurable objectives &amp; Requirements for the system.</t>
        </r>
      </text>
    </comment>
    <comment ref="B14" authorId="0" shapeId="0" xr:uid="{A70C4141-049E-4B47-AAA3-79C91E06F758}">
      <text>
        <r>
          <rPr>
            <b/>
            <sz val="9"/>
            <color indexed="81"/>
            <rFont val="Tahoma"/>
            <family val="2"/>
          </rPr>
          <t>Kyle Simmons:</t>
        </r>
        <r>
          <rPr>
            <sz val="9"/>
            <color indexed="81"/>
            <rFont val="Tahoma"/>
            <family val="2"/>
          </rPr>
          <t xml:space="preserve">
Develop SysML use‑case diagrams showing actors (passengers and simulation operator) and their interactions; block definition diagrams illustrating the separation of PassengerController, ElevatorController, Building, Elevator and Person classes; internal block diagrams showing how the controllers communicate via events.</t>
        </r>
      </text>
    </comment>
    <comment ref="C14" authorId="0" shapeId="0" xr:uid="{876570AD-37B1-4F49-B203-5A930E3E42AC}">
      <text>
        <r>
          <rPr>
            <b/>
            <sz val="9"/>
            <color indexed="81"/>
            <rFont val="Tahoma"/>
          </rPr>
          <t>Kyle Simmons:</t>
        </r>
        <r>
          <rPr>
            <sz val="9"/>
            <color indexed="81"/>
            <rFont val="Tahoma"/>
          </rPr>
          <t xml:space="preserve">
SysML requirements diagrams can be used to represent mission statements, goals and stakeholder needs formally, and later define functional, performance and interface requirements</t>
        </r>
      </text>
    </comment>
    <comment ref="B16" authorId="0" shapeId="0" xr:uid="{B663005B-5EF7-4702-9422-60813AAE6F3C}">
      <text>
        <r>
          <rPr>
            <b/>
            <sz val="9"/>
            <color indexed="81"/>
            <rFont val="Tahoma"/>
            <family val="2"/>
          </rPr>
          <t>Kyle Simmons:</t>
        </r>
        <r>
          <rPr>
            <sz val="9"/>
            <color indexed="81"/>
            <rFont val="Tahoma"/>
            <family val="2"/>
          </rPr>
          <t xml:space="preserve">
Use UML class diagrams to define classes, attributes, operations and relationships; prepare code scaffolding (as outlined previously) to separate the simulation core from I/O and future GUI.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Simmons</author>
  </authors>
  <commentList>
    <comment ref="B1" authorId="0" shapeId="0" xr:uid="{898B387B-0BB6-4799-A90F-571170310CB3}">
      <text>
        <r>
          <rPr>
            <b/>
            <sz val="9"/>
            <color indexed="81"/>
            <rFont val="Tahoma"/>
            <charset val="1"/>
          </rPr>
          <t>Kyle Simmons:</t>
        </r>
        <r>
          <rPr>
            <sz val="9"/>
            <color indexed="81"/>
            <rFont val="Tahoma"/>
            <charset val="1"/>
          </rPr>
          <t xml:space="preserve">
(Each need above is intended to map to one or more high-level requirements in the SysML model. The tags like SN-1, SN-2, etc., will be used for traceability so we can link each requirement back to the stakeholder need it satisfies.)</t>
        </r>
      </text>
    </comment>
  </commentList>
</comments>
</file>

<file path=xl/sharedStrings.xml><?xml version="1.0" encoding="utf-8"?>
<sst xmlns="http://schemas.openxmlformats.org/spreadsheetml/2006/main" count="227" uniqueCount="186">
  <si>
    <t>Building Class</t>
  </si>
  <si>
    <t>Stakeholder</t>
  </si>
  <si>
    <t>Architects</t>
  </si>
  <si>
    <t>Elevator Class (one instance per elevator)</t>
  </si>
  <si>
    <t>Occupant Class</t>
  </si>
  <si>
    <t>Occupant Manager Class</t>
  </si>
  <si>
    <t>Elevator Control System (Singleton)</t>
  </si>
  <si>
    <t>I/O Module</t>
  </si>
  <si>
    <t xml:space="preserve">    }</t>
  </si>
  <si>
    <t>}</t>
  </si>
  <si>
    <t>Logger.Log()</t>
  </si>
  <si>
    <t>avgWaitTimeOverall</t>
  </si>
  <si>
    <t>avgWaitTimeClass</t>
  </si>
  <si>
    <t>maxQ_Floor</t>
  </si>
  <si>
    <t>maxCapacity_Elevator</t>
  </si>
  <si>
    <t>elevatorUse</t>
  </si>
  <si>
    <t>displayReport</t>
  </si>
  <si>
    <t>{</t>
  </si>
  <si>
    <t xml:space="preserve">  "Building": {</t>
  </si>
  <si>
    <t xml:space="preserve">    "TotalFloors": 40,</t>
  </si>
  <si>
    <t xml:space="preserve">    "ElevatorCount": 6,</t>
  </si>
  <si>
    <t xml:space="preserve">    "FloorGroups": {</t>
  </si>
  <si>
    <t xml:space="preserve">      "Shops": [1,2,3,4,5],</t>
  </si>
  <si>
    <t xml:space="preserve">      "Offices": [6,7,...,20],</t>
  </si>
  <si>
    <t xml:space="preserve">      "Apartments": [21,22,...,40]</t>
  </si>
  <si>
    <t xml:space="preserve">  },</t>
  </si>
  <si>
    <t xml:space="preserve">  "Elevators": {</t>
  </si>
  <si>
    <t xml:space="preserve">    "Capacity": 10,</t>
  </si>
  <si>
    <t xml:space="preserve">    "SpeedFloorPerSecond": 1,</t>
  </si>
  <si>
    <t xml:space="preserve">    "DoorOpenTimeSec": 5</t>
  </si>
  <si>
    <t xml:space="preserve">  "Agents": [</t>
  </si>
  <si>
    <t xml:space="preserve">    {</t>
  </si>
  <si>
    <t xml:space="preserve">      "Type": "Resident",</t>
  </si>
  <si>
    <t xml:space="preserve">      "HomeFloors": [21,40],</t>
  </si>
  <si>
    <t xml:space="preserve">      "TripsPerDay": 2,</t>
  </si>
  <si>
    <t xml:space="preserve">      "Schedule": "morning outbound, evening inbound"</t>
  </si>
  <si>
    <t xml:space="preserve">    },</t>
  </si>
  <si>
    <t xml:space="preserve">      "Type": "OfficeWorker",</t>
  </si>
  <si>
    <t xml:space="preserve">      "OfficeFloors": [6,20],</t>
  </si>
  <si>
    <t xml:space="preserve">      "ArrivalPeakHour": 9,</t>
  </si>
  <si>
    <t xml:space="preserve">      "DeparturePeakHour": 17</t>
  </si>
  <si>
    <t xml:space="preserve">      "Type": "Shopper",</t>
  </si>
  <si>
    <t xml:space="preserve">      "TargetFloors": [1,5],</t>
  </si>
  <si>
    <t xml:space="preserve">      "AverageInterarrivalMinutes": 30</t>
  </si>
  <si>
    <t xml:space="preserve">  ],</t>
  </si>
  <si>
    <t xml:space="preserve">  "Simulation": {</t>
  </si>
  <si>
    <t xml:space="preserve">    "StartTime": "08:00",</t>
  </si>
  <si>
    <t xml:space="preserve">    "DurationHours": 12,</t>
  </si>
  <si>
    <t xml:space="preserve">    "RandomSeed": 42,</t>
  </si>
  <si>
    <t xml:space="preserve">    "LogFile": "elevator_sim_log.csv"</t>
  </si>
  <si>
    <t xml:space="preserve">  }</t>
  </si>
  <si>
    <t>Stakeholder Need</t>
  </si>
  <si>
    <t>Requirements Traceability Verification Matrix</t>
  </si>
  <si>
    <t>ICD</t>
  </si>
  <si>
    <t>// Represents a person/agent in the simulation</t>
  </si>
  <si>
    <t>public class Person {</t>
  </si>
  <si>
    <t xml:space="preserve">    public int Id;</t>
  </si>
  <si>
    <t xml:space="preserve">    public string Type;  // "Resident", "OfficeWorker", etc.</t>
  </si>
  <si>
    <t xml:space="preserve">    public int OriginFloor;</t>
  </si>
  <si>
    <t xml:space="preserve">    public int DestinationFloor;</t>
  </si>
  <si>
    <t xml:space="preserve">    public TimeSpan ArrivalTime;</t>
  </si>
  <si>
    <t>C# code structure, creating class stubs with comments as a “scaffolding” before full implementation. This step defines all classes, methods, and their responsibilities clearly:</t>
  </si>
  <si>
    <t>System Design</t>
  </si>
  <si>
    <t>Mission/Value Statement</t>
  </si>
  <si>
    <t>Stakeholder Analysis</t>
  </si>
  <si>
    <t>Requirements Diagrams</t>
  </si>
  <si>
    <t>Artifact</t>
  </si>
  <si>
    <t>Engineers</t>
  </si>
  <si>
    <t>Occupants</t>
  </si>
  <si>
    <t>SEBoK’s Concept‑Definition section reinforces this: business or mission analysis should define the overall strategic problem or opportunity, identify why the system is needed and what value it will bring, and develop the mission, goals, objectives and measures of success before stakeholder needs and requirements are elaborated</t>
  </si>
  <si>
    <t>MISSION STATEMENT:</t>
  </si>
  <si>
    <t>VALUE</t>
  </si>
  <si>
    <t>SRC-01</t>
  </si>
  <si>
    <t>SRC-02</t>
  </si>
  <si>
    <t>Need/Concern</t>
  </si>
  <si>
    <t>Notes</t>
  </si>
  <si>
    <t>STAKEHOLDER NEEDS</t>
  </si>
  <si>
    <t>Goals, objectives and performance measures</t>
  </si>
  <si>
    <t>Goal 4</t>
  </si>
  <si>
    <t xml:space="preserve">Goal 3 </t>
  </si>
  <si>
    <t>Goal 2</t>
  </si>
  <si>
    <t>Goal 1</t>
  </si>
  <si>
    <t>These requirements shall be captured in the RTVM and later translated to SysML requirement diagrams after the mission and stakeholder analysis.</t>
  </si>
  <si>
    <t>1.</t>
  </si>
  <si>
    <t>2.</t>
  </si>
  <si>
    <t>3.</t>
  </si>
  <si>
    <t>4.</t>
  </si>
  <si>
    <t>Functional requirements</t>
  </si>
  <si>
    <t>Performance requirements</t>
  </si>
  <si>
    <t>Interface requirements</t>
  </si>
  <si>
    <t>Quality requirements</t>
  </si>
  <si>
    <t>High-Level system requirements</t>
  </si>
  <si>
    <t>MBSE process steps</t>
  </si>
  <si>
    <t>Implementation planning</t>
  </si>
  <si>
    <t>System architecture/design</t>
  </si>
  <si>
    <t>System requirements definition</t>
  </si>
  <si>
    <t>Stakeholder needs definition</t>
  </si>
  <si>
    <t>Business/mission analysis</t>
  </si>
  <si>
    <t>In general, document standards will be followed  in the following order of priority:
(Wherein any specification is not available at a particular level, standards at the next level down will be followed)</t>
  </si>
  <si>
    <t>SRC-03</t>
  </si>
  <si>
    <t>High-Level
Objectives</t>
  </si>
  <si>
    <t>Goals</t>
  </si>
  <si>
    <t>Success Criteria</t>
  </si>
  <si>
    <t>Site Owners</t>
  </si>
  <si>
    <t>Building Managers</t>
  </si>
  <si>
    <t>Operators</t>
  </si>
  <si>
    <t>Need ID</t>
  </si>
  <si>
    <t>Description</t>
  </si>
  <si>
    <t>Req ID</t>
  </si>
  <si>
    <t>SN-1</t>
  </si>
  <si>
    <t>SN-3</t>
  </si>
  <si>
    <t>Requirement Statement</t>
  </si>
  <si>
    <t>Stakeholder Need(s)</t>
  </si>
  <si>
    <t>SysML Tag</t>
  </si>
  <si>
    <t>SN-2, SN-3</t>
  </si>
  <si>
    <t>SN-3, SN-4</t>
  </si>
  <si>
    <t>SN-1, SN-2</t>
  </si>
  <si>
    <t>SN-4</t>
  </si>
  <si>
    <t>SN-5</t>
  </si>
  <si>
    <t>SN-2, SN-5</t>
  </si>
  <si>
    <t>2. Performance Requirements</t>
  </si>
  <si>
    <t>3. Interface Requirements</t>
  </si>
  <si>
    <t>4. Quality Requirements</t>
  </si>
  <si>
    <t>SR-01.01</t>
  </si>
  <si>
    <t>SR-01.03</t>
  </si>
  <si>
    <t>SR-01.04</t>
  </si>
  <si>
    <t>SR-01.05</t>
  </si>
  <si>
    <t>SR-01.06</t>
  </si>
  <si>
    <t>SR-01.07</t>
  </si>
  <si>
    <t>SR-01.08</t>
  </si>
  <si>
    <t>SR-01.09</t>
  </si>
  <si>
    <t>SR-02.01</t>
  </si>
  <si>
    <t>SR-02.02</t>
  </si>
  <si>
    <t>SR-02.03</t>
  </si>
  <si>
    <t>SR-02.04</t>
  </si>
  <si>
    <t>SR-03.01</t>
  </si>
  <si>
    <t>SR-03.01.01</t>
  </si>
  <si>
    <t>SR-03.02</t>
  </si>
  <si>
    <t>SR-03.03</t>
  </si>
  <si>
    <t>SR-04.01</t>
  </si>
  <si>
    <t>SR-04.02</t>
  </si>
  <si>
    <t>SR-04.03</t>
  </si>
  <si>
    <t>SR-04.04</t>
  </si>
  <si>
    <t>SR-01.10</t>
  </si>
  <si>
    <t>SR-02.05</t>
  </si>
  <si>
    <t>SR-04.05</t>
  </si>
  <si>
    <t>SR-04.06</t>
  </si>
  <si>
    <t>SR-01.11</t>
  </si>
  <si>
    <t>SR-01.11.01</t>
  </si>
  <si>
    <t>SR-01.11.02</t>
  </si>
  <si>
    <t>SR-04.05.01</t>
  </si>
  <si>
    <t>SR-04.05.02</t>
  </si>
  <si>
    <t>SR-04.05.03</t>
  </si>
  <si>
    <t>SR-04.05.04</t>
  </si>
  <si>
    <t>SR-04.05.05</t>
  </si>
  <si>
    <t>SR-04.05.06</t>
  </si>
  <si>
    <t>SR-04.05.07</t>
  </si>
  <si>
    <t>SR-01.07.01</t>
  </si>
  <si>
    <t>SR-01.07.02</t>
  </si>
  <si>
    <t>SR-01.07.03</t>
  </si>
  <si>
    <t>SR-01.01.01</t>
  </si>
  <si>
    <t>SR-01.01.02</t>
  </si>
  <si>
    <t>1. Functional Requirements</t>
  </si>
  <si>
    <t xml:space="preserve">SN-1: </t>
  </si>
  <si>
    <t xml:space="preserve">SN-2: </t>
  </si>
  <si>
    <t xml:space="preserve">SN-3: </t>
  </si>
  <si>
    <t xml:space="preserve">SN-4: </t>
  </si>
  <si>
    <t xml:space="preserve">SN-5: </t>
  </si>
  <si>
    <t>SN-6:</t>
  </si>
  <si>
    <t>SN-7:</t>
  </si>
  <si>
    <t xml:space="preserve">SN-8: </t>
  </si>
  <si>
    <t xml:space="preserve">SN-9: </t>
  </si>
  <si>
    <t xml:space="preserve">Mission Overview: </t>
  </si>
  <si>
    <t xml:space="preserve">Mission Statement: </t>
  </si>
  <si>
    <t>Value Description</t>
  </si>
  <si>
    <t xml:space="preserve">Value Proposition </t>
  </si>
  <si>
    <t xml:space="preserve">1. </t>
  </si>
  <si>
    <t xml:space="preserve">2. </t>
  </si>
  <si>
    <t xml:space="preserve">3. </t>
  </si>
  <si>
    <t xml:space="preserve">4. </t>
  </si>
  <si>
    <t xml:space="preserve">5. </t>
  </si>
  <si>
    <t>Summary</t>
  </si>
  <si>
    <r>
      <t xml:space="preserve">We use </t>
    </r>
    <r>
      <rPr>
        <b/>
        <sz val="11"/>
        <color theme="1"/>
        <rFont val="Aptos Narrow"/>
        <family val="2"/>
        <scheme val="minor"/>
      </rPr>
      <t>JSON</t>
    </r>
    <r>
      <rPr>
        <sz val="11"/>
        <color theme="1"/>
        <rFont val="Aptos Narrow"/>
        <family val="2"/>
        <scheme val="minor"/>
      </rPr>
      <t xml:space="preserve"> (or XML) to </t>
    </r>
  </si>
  <si>
    <r>
      <t>Explanation:</t>
    </r>
    <r>
      <rPr>
        <sz val="11"/>
        <color theme="1"/>
        <rFont val="Aptos Narrow"/>
        <family val="2"/>
        <scheme val="minor"/>
      </rPr>
      <t xml:space="preserve"> </t>
    </r>
  </si>
  <si>
    <r>
      <t xml:space="preserve">For </t>
    </r>
    <r>
      <rPr>
        <b/>
        <sz val="11"/>
        <color theme="1"/>
        <rFont val="Aptos Narrow"/>
        <family val="2"/>
        <scheme val="minor"/>
      </rPr>
      <t>output</t>
    </r>
    <r>
      <rPr>
        <sz val="11"/>
        <color theme="1"/>
        <rFont val="Aptos Narrow"/>
        <family val="2"/>
        <scheme val="minor"/>
      </rPr>
      <t xml:space="preserve">, the </t>
    </r>
  </si>
  <si>
    <t>Time,ElevID,Event,Details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</si>
</sst>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i/>
      <sz val="11"/>
      <color theme="1"/>
      <name val="Aptos Narrow"/>
      <family val="2"/>
      <scheme val="minor"/>
    </font>
    <font>
      <sz val="9"/>
      <color indexed="81"/>
      <name val="Tahoma"/>
    </font>
    <font>
      <b/>
      <sz val="9"/>
      <color indexed="81"/>
      <name val="Tahoma"/>
    </font>
    <font>
      <b/>
      <u/>
      <sz val="11"/>
      <color theme="1"/>
      <name val="Aptos Narrow"/>
      <family val="2"/>
      <scheme val="minor"/>
    </font>
    <font>
      <b/>
      <sz val="13.5"/>
      <color theme="1"/>
      <name val="Aptos Narrow"/>
      <family val="2"/>
      <scheme val="minor"/>
    </font>
    <font>
      <sz val="9"/>
      <color indexed="81"/>
      <name val="Tahoma"/>
      <family val="2"/>
    </font>
    <font>
      <b/>
      <sz val="9"/>
      <color indexed="81"/>
      <name val="Tahoma"/>
      <family val="2"/>
    </font>
    <font>
      <sz val="8"/>
      <name val="Aptos Narrow"/>
      <family val="2"/>
      <scheme val="minor"/>
    </font>
    <font>
      <sz val="9"/>
      <color indexed="81"/>
      <name val="Tahoma"/>
      <charset val="1"/>
    </font>
    <font>
      <b/>
      <sz val="9"/>
      <color indexed="81"/>
      <name val="Tahoma"/>
      <charset val="1"/>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quotePrefix="1"/>
    <xf numFmtId="0" fontId="2" fillId="0" borderId="0" xfId="0" applyFont="1"/>
    <xf numFmtId="0" fontId="1" fillId="0" borderId="0" xfId="0" applyFont="1"/>
    <xf numFmtId="0" fontId="0" fillId="0" borderId="0" xfId="0" applyAlignment="1">
      <alignment wrapText="1"/>
    </xf>
    <xf numFmtId="0" fontId="1" fillId="0" borderId="0" xfId="0" applyFont="1" applyAlignment="1">
      <alignment wrapText="1"/>
    </xf>
    <xf numFmtId="0" fontId="0" fillId="0" borderId="0" xfId="0" applyAlignment="1">
      <alignment horizontal="left" wrapText="1"/>
    </xf>
    <xf numFmtId="0" fontId="1" fillId="0" borderId="0" xfId="0" applyFont="1" applyAlignment="1">
      <alignment horizontal="left" vertical="center" wrapText="1"/>
    </xf>
    <xf numFmtId="0" fontId="5" fillId="0" borderId="0" xfId="0" applyFont="1"/>
    <xf numFmtId="0" fontId="6"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applyAlignment="1">
      <alignment horizontal="right" vertical="center" indent="1"/>
    </xf>
    <xf numFmtId="0" fontId="1" fillId="0" borderId="0" xfId="0" quotePrefix="1" applyFont="1" applyAlignment="1">
      <alignment horizontal="right" vertical="center" indent="1"/>
    </xf>
    <xf numFmtId="0" fontId="0" fillId="0" borderId="0" xfId="0" applyAlignment="1">
      <alignment horizontal="right" vertical="center" indent="1"/>
    </xf>
    <xf numFmtId="0" fontId="0" fillId="0" borderId="0" xfId="0" applyAlignment="1">
      <alignment vertical="center" wrapText="1"/>
    </xf>
    <xf numFmtId="0" fontId="1" fillId="2" borderId="0" xfId="0" applyFont="1" applyFill="1"/>
    <xf numFmtId="0" fontId="0" fillId="2" borderId="0" xfId="0" applyFill="1"/>
    <xf numFmtId="0" fontId="1" fillId="3" borderId="0" xfId="0" applyFont="1" applyFill="1" applyAlignment="1">
      <alignment horizontal="center" vertical="center" wrapText="1"/>
    </xf>
    <xf numFmtId="0" fontId="0" fillId="0" borderId="0" xfId="0" applyAlignment="1">
      <alignment horizontal="left" wrapText="1"/>
    </xf>
    <xf numFmtId="0" fontId="0" fillId="0" borderId="0" xfId="0"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0" fillId="0" borderId="0" xfId="0" applyAlignment="1">
      <alignment horizontal="left" vertical="top" wrapText="1"/>
    </xf>
    <xf numFmtId="0" fontId="0" fillId="0" borderId="0" xfId="0" quotePrefix="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46D97-28EB-4B76-88B2-CC86E100D4BB}">
  <dimension ref="A1:D29"/>
  <sheetViews>
    <sheetView workbookViewId="0">
      <selection activeCell="B29" sqref="B21:B29"/>
    </sheetView>
  </sheetViews>
  <sheetFormatPr defaultRowHeight="14.5" x14ac:dyDescent="0.35"/>
  <cols>
    <col min="2" max="2" width="38.1796875" bestFit="1" customWidth="1"/>
    <col min="3" max="3" width="27" customWidth="1"/>
    <col min="4" max="4" width="54.90625" customWidth="1"/>
  </cols>
  <sheetData>
    <row r="1" spans="1:3" ht="17.5" x14ac:dyDescent="0.35">
      <c r="A1" s="9" t="s">
        <v>92</v>
      </c>
    </row>
    <row r="2" spans="1:3" x14ac:dyDescent="0.35">
      <c r="A2" s="10"/>
      <c r="C2" s="8" t="s">
        <v>66</v>
      </c>
    </row>
    <row r="3" spans="1:3" x14ac:dyDescent="0.35">
      <c r="A3" s="12" t="str">
        <f>"1."</f>
        <v>1.</v>
      </c>
      <c r="B3" s="11" t="s">
        <v>97</v>
      </c>
      <c r="C3" t="s">
        <v>63</v>
      </c>
    </row>
    <row r="4" spans="1:3" x14ac:dyDescent="0.35">
      <c r="A4" s="14"/>
      <c r="B4" s="10"/>
      <c r="C4" t="s">
        <v>64</v>
      </c>
    </row>
    <row r="10" spans="1:3" x14ac:dyDescent="0.35">
      <c r="A10" s="12" t="str">
        <f>"2."</f>
        <v>2.</v>
      </c>
      <c r="B10" s="11" t="s">
        <v>96</v>
      </c>
      <c r="C10" t="s">
        <v>51</v>
      </c>
    </row>
    <row r="11" spans="1:3" x14ac:dyDescent="0.35">
      <c r="A11" s="14"/>
      <c r="B11" s="10"/>
    </row>
    <row r="12" spans="1:3" x14ac:dyDescent="0.35">
      <c r="A12" s="12" t="str">
        <f>"3."</f>
        <v>3.</v>
      </c>
      <c r="B12" s="11" t="s">
        <v>95</v>
      </c>
      <c r="C12" t="s">
        <v>52</v>
      </c>
    </row>
    <row r="13" spans="1:3" x14ac:dyDescent="0.35">
      <c r="A13" s="14"/>
      <c r="B13" s="10"/>
    </row>
    <row r="14" spans="1:3" x14ac:dyDescent="0.35">
      <c r="A14" s="12" t="str">
        <f>"4."</f>
        <v>4.</v>
      </c>
      <c r="B14" s="11" t="s">
        <v>94</v>
      </c>
      <c r="C14" t="s">
        <v>65</v>
      </c>
    </row>
    <row r="15" spans="1:3" x14ac:dyDescent="0.35">
      <c r="A15" s="14"/>
      <c r="B15" s="10"/>
      <c r="C15" t="s">
        <v>53</v>
      </c>
    </row>
    <row r="16" spans="1:3" x14ac:dyDescent="0.35">
      <c r="A16" s="12" t="str">
        <f>"5."</f>
        <v>5.</v>
      </c>
      <c r="B16" s="11" t="s">
        <v>93</v>
      </c>
      <c r="C16" t="s">
        <v>62</v>
      </c>
    </row>
    <row r="20" spans="1:4" ht="30.65" customHeight="1" x14ac:dyDescent="0.35">
      <c r="A20" s="19" t="s">
        <v>98</v>
      </c>
      <c r="B20" s="19"/>
      <c r="C20" s="19"/>
      <c r="D20" s="19"/>
    </row>
    <row r="21" spans="1:4" x14ac:dyDescent="0.35">
      <c r="A21">
        <v>1</v>
      </c>
    </row>
    <row r="22" spans="1:4" x14ac:dyDescent="0.35">
      <c r="A22">
        <v>2</v>
      </c>
    </row>
    <row r="23" spans="1:4" x14ac:dyDescent="0.35">
      <c r="A23">
        <v>3</v>
      </c>
    </row>
    <row r="24" spans="1:4" x14ac:dyDescent="0.35">
      <c r="A24">
        <v>4</v>
      </c>
    </row>
    <row r="25" spans="1:4" x14ac:dyDescent="0.35">
      <c r="A25">
        <v>5</v>
      </c>
    </row>
    <row r="26" spans="1:4" x14ac:dyDescent="0.35">
      <c r="A26">
        <v>6</v>
      </c>
    </row>
    <row r="27" spans="1:4" x14ac:dyDescent="0.35">
      <c r="A27">
        <v>7</v>
      </c>
    </row>
    <row r="28" spans="1:4" x14ac:dyDescent="0.35">
      <c r="A28">
        <v>8</v>
      </c>
    </row>
    <row r="29" spans="1:4" x14ac:dyDescent="0.35">
      <c r="A29">
        <v>9</v>
      </c>
    </row>
  </sheetData>
  <mergeCells count="1">
    <mergeCell ref="A20:D20"/>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042FD-E1B2-4BD8-8A70-8F04A9F11C16}">
  <dimension ref="A1:K75"/>
  <sheetViews>
    <sheetView topLeftCell="A34" workbookViewId="0">
      <selection activeCell="B67" sqref="B67:B70"/>
    </sheetView>
  </sheetViews>
  <sheetFormatPr defaultRowHeight="14.5" x14ac:dyDescent="0.35"/>
  <cols>
    <col min="1" max="1" width="15.90625" customWidth="1"/>
    <col min="2" max="2" width="14.08984375" customWidth="1"/>
    <col min="3" max="3" width="36.453125" customWidth="1"/>
    <col min="5" max="5" width="8.90625" customWidth="1"/>
    <col min="10" max="10" width="15.36328125" customWidth="1"/>
  </cols>
  <sheetData>
    <row r="1" spans="1:11" ht="70.25" customHeight="1" x14ac:dyDescent="0.35">
      <c r="A1" s="23" t="s">
        <v>69</v>
      </c>
      <c r="B1" s="23"/>
      <c r="C1" s="23"/>
      <c r="D1" s="23"/>
      <c r="E1" s="23"/>
      <c r="F1" s="23"/>
      <c r="G1" s="23"/>
      <c r="H1" s="23"/>
      <c r="I1" s="23"/>
      <c r="J1" s="23"/>
    </row>
    <row r="2" spans="1:11" x14ac:dyDescent="0.35">
      <c r="A2" s="8" t="s">
        <v>70</v>
      </c>
    </row>
    <row r="3" spans="1:11" ht="73.75" customHeight="1" x14ac:dyDescent="0.35">
      <c r="B3" s="19" t="s">
        <v>173</v>
      </c>
      <c r="C3" s="19"/>
      <c r="D3" s="19"/>
      <c r="E3" s="19"/>
      <c r="F3" s="19"/>
      <c r="G3" s="19"/>
      <c r="H3" s="19"/>
      <c r="I3" s="19"/>
      <c r="J3" s="19"/>
    </row>
    <row r="4" spans="1:11" ht="91.25" customHeight="1" x14ac:dyDescent="0.35">
      <c r="B4" s="19" t="s">
        <v>172</v>
      </c>
      <c r="C4" s="19"/>
      <c r="D4" s="19"/>
      <c r="E4" s="19"/>
      <c r="F4" s="19"/>
      <c r="G4" s="19"/>
      <c r="H4" s="19"/>
      <c r="I4" s="19"/>
      <c r="J4" s="19"/>
    </row>
    <row r="5" spans="1:11" ht="52.75" customHeight="1" x14ac:dyDescent="0.35">
      <c r="B5" s="19"/>
      <c r="C5" s="19"/>
      <c r="D5" s="19"/>
      <c r="E5" s="19"/>
      <c r="F5" s="19"/>
      <c r="G5" s="19"/>
      <c r="H5" s="19"/>
      <c r="I5" s="19"/>
      <c r="J5" s="19"/>
    </row>
    <row r="7" spans="1:11" x14ac:dyDescent="0.35">
      <c r="A7" s="8" t="s">
        <v>71</v>
      </c>
    </row>
    <row r="8" spans="1:11" ht="112.25" customHeight="1" x14ac:dyDescent="0.35">
      <c r="B8" s="19" t="s">
        <v>174</v>
      </c>
      <c r="C8" s="19"/>
      <c r="D8" s="19"/>
      <c r="E8" s="19"/>
      <c r="F8" s="19"/>
      <c r="G8" s="19"/>
      <c r="H8" s="19"/>
      <c r="I8" s="19"/>
      <c r="J8" s="19"/>
    </row>
    <row r="9" spans="1:11" ht="166.25" customHeight="1" x14ac:dyDescent="0.35">
      <c r="B9" s="19" t="s">
        <v>175</v>
      </c>
      <c r="C9" s="19"/>
      <c r="D9" s="19"/>
      <c r="E9" s="19"/>
      <c r="F9" s="19"/>
      <c r="G9" s="19"/>
      <c r="H9" s="19"/>
      <c r="I9" s="19"/>
      <c r="J9" s="19"/>
    </row>
    <row r="10" spans="1:11" ht="112.25" customHeight="1" x14ac:dyDescent="0.35">
      <c r="B10" s="6"/>
      <c r="C10" s="6"/>
      <c r="D10" s="6"/>
      <c r="E10" s="6"/>
      <c r="F10" s="6"/>
      <c r="G10" s="6"/>
      <c r="H10" s="6"/>
      <c r="I10" s="6"/>
      <c r="J10" s="6"/>
    </row>
    <row r="12" spans="1:11" x14ac:dyDescent="0.35">
      <c r="A12" s="8" t="s">
        <v>76</v>
      </c>
    </row>
    <row r="13" spans="1:11" ht="28.75" customHeight="1" x14ac:dyDescent="0.35">
      <c r="B13" s="22" t="s">
        <v>1</v>
      </c>
      <c r="C13" s="22"/>
      <c r="D13" s="22"/>
      <c r="E13" s="22" t="s">
        <v>74</v>
      </c>
      <c r="F13" s="22"/>
      <c r="G13" s="22"/>
      <c r="H13" s="22"/>
      <c r="I13" s="22" t="s">
        <v>75</v>
      </c>
      <c r="J13" s="22"/>
      <c r="K13" s="22"/>
    </row>
    <row r="14" spans="1:11" ht="87.65" customHeight="1" x14ac:dyDescent="0.35">
      <c r="B14" s="21"/>
      <c r="C14" s="21"/>
      <c r="D14" s="21"/>
      <c r="E14" s="20"/>
      <c r="F14" s="20"/>
      <c r="G14" s="20"/>
      <c r="H14" s="20"/>
      <c r="I14" s="20"/>
      <c r="J14" s="20"/>
      <c r="K14" s="20"/>
    </row>
    <row r="15" spans="1:11" ht="35.4" customHeight="1" x14ac:dyDescent="0.35">
      <c r="B15" s="7"/>
      <c r="C15" s="7"/>
      <c r="D15" s="7"/>
      <c r="E15" s="20"/>
      <c r="F15" s="20"/>
      <c r="G15" s="20"/>
      <c r="H15" s="20"/>
      <c r="I15" s="20"/>
      <c r="J15" s="20"/>
      <c r="K15" s="20"/>
    </row>
    <row r="16" spans="1:11" ht="35.4" customHeight="1" x14ac:dyDescent="0.35">
      <c r="B16" s="21"/>
      <c r="C16" s="21"/>
      <c r="D16" s="21"/>
      <c r="E16" s="20"/>
      <c r="F16" s="20"/>
      <c r="G16" s="20"/>
      <c r="H16" s="20"/>
      <c r="I16" s="20"/>
      <c r="J16" s="20"/>
      <c r="K16" s="20"/>
    </row>
    <row r="17" spans="1:11" ht="58.25" customHeight="1" x14ac:dyDescent="0.35">
      <c r="B17" s="21"/>
      <c r="C17" s="21"/>
      <c r="D17" s="21"/>
      <c r="E17" s="20"/>
      <c r="F17" s="20"/>
      <c r="G17" s="20"/>
      <c r="H17" s="20"/>
      <c r="I17" s="20"/>
      <c r="J17" s="20"/>
      <c r="K17" s="20"/>
    </row>
    <row r="18" spans="1:11" ht="37.75" customHeight="1" x14ac:dyDescent="0.35">
      <c r="B18" s="21"/>
      <c r="C18" s="21"/>
      <c r="D18" s="21"/>
      <c r="E18" s="20"/>
      <c r="F18" s="20"/>
      <c r="G18" s="20"/>
      <c r="H18" s="20"/>
      <c r="I18" s="20"/>
      <c r="J18" s="20"/>
      <c r="K18" s="20"/>
    </row>
    <row r="19" spans="1:11" ht="108" customHeight="1" x14ac:dyDescent="0.35">
      <c r="B19" s="21"/>
      <c r="C19" s="21"/>
      <c r="D19" s="21"/>
      <c r="E19" s="20"/>
      <c r="F19" s="20"/>
      <c r="G19" s="20"/>
      <c r="H19" s="20"/>
      <c r="I19" s="20"/>
      <c r="J19" s="20"/>
      <c r="K19" s="20"/>
    </row>
    <row r="20" spans="1:11" ht="61.25" customHeight="1" x14ac:dyDescent="0.35">
      <c r="B20" s="21"/>
      <c r="C20" s="21"/>
      <c r="D20" s="21"/>
      <c r="E20" s="20"/>
      <c r="F20" s="20"/>
      <c r="G20" s="20"/>
      <c r="H20" s="20"/>
      <c r="I20" s="20"/>
      <c r="J20" s="20"/>
      <c r="K20" s="20"/>
    </row>
    <row r="22" spans="1:11" ht="17.5" x14ac:dyDescent="0.35">
      <c r="A22" s="9" t="s">
        <v>77</v>
      </c>
    </row>
    <row r="23" spans="1:11" x14ac:dyDescent="0.35">
      <c r="A23" s="10"/>
    </row>
    <row r="24" spans="1:11" ht="29" x14ac:dyDescent="0.35">
      <c r="A24" s="4" t="s">
        <v>100</v>
      </c>
      <c r="B24" s="6"/>
      <c r="C24" s="6"/>
      <c r="D24" s="6"/>
      <c r="E24" s="6"/>
      <c r="F24" s="6"/>
      <c r="G24" s="6"/>
      <c r="H24" s="6"/>
      <c r="I24" s="6"/>
      <c r="J24" s="6"/>
    </row>
    <row r="25" spans="1:11" ht="34.25" customHeight="1" x14ac:dyDescent="0.35">
      <c r="A25" s="4"/>
      <c r="B25" s="24" t="s">
        <v>176</v>
      </c>
      <c r="C25" s="19"/>
      <c r="D25" s="19"/>
      <c r="E25" s="19"/>
      <c r="F25" s="19"/>
      <c r="G25" s="19"/>
      <c r="H25" s="19"/>
      <c r="I25" s="19"/>
      <c r="J25" s="19"/>
    </row>
    <row r="26" spans="1:11" ht="39" customHeight="1" x14ac:dyDescent="0.35">
      <c r="A26" s="4"/>
      <c r="B26" s="24" t="s">
        <v>177</v>
      </c>
      <c r="C26" s="19"/>
      <c r="D26" s="19"/>
      <c r="E26" s="19"/>
      <c r="F26" s="19"/>
      <c r="G26" s="19"/>
      <c r="H26" s="19"/>
      <c r="I26" s="19"/>
      <c r="J26" s="19"/>
    </row>
    <row r="27" spans="1:11" ht="75.650000000000006" customHeight="1" x14ac:dyDescent="0.35">
      <c r="A27" s="4"/>
      <c r="B27" s="24" t="s">
        <v>178</v>
      </c>
      <c r="C27" s="19"/>
      <c r="D27" s="19"/>
      <c r="E27" s="19"/>
      <c r="F27" s="19"/>
      <c r="G27" s="19"/>
      <c r="H27" s="19"/>
      <c r="I27" s="19"/>
      <c r="J27" s="19"/>
    </row>
    <row r="28" spans="1:11" ht="36" customHeight="1" x14ac:dyDescent="0.35">
      <c r="A28" s="4"/>
      <c r="B28" s="24" t="s">
        <v>179</v>
      </c>
      <c r="C28" s="19"/>
      <c r="D28" s="19"/>
      <c r="E28" s="19"/>
      <c r="F28" s="19"/>
      <c r="G28" s="19"/>
      <c r="H28" s="19"/>
      <c r="I28" s="19"/>
      <c r="J28" s="19"/>
    </row>
    <row r="29" spans="1:11" ht="40.25" customHeight="1" x14ac:dyDescent="0.35">
      <c r="A29" s="4"/>
      <c r="B29" s="24" t="s">
        <v>180</v>
      </c>
      <c r="C29" s="19"/>
      <c r="D29" s="19"/>
      <c r="E29" s="19"/>
      <c r="F29" s="19"/>
      <c r="G29" s="19"/>
      <c r="H29" s="19"/>
      <c r="I29" s="19"/>
      <c r="J29" s="19"/>
    </row>
    <row r="30" spans="1:11" x14ac:dyDescent="0.35">
      <c r="A30" s="4"/>
      <c r="B30" s="6"/>
      <c r="C30" s="6"/>
      <c r="D30" s="6"/>
      <c r="E30" s="6"/>
      <c r="F30" s="6"/>
      <c r="G30" s="6"/>
      <c r="H30" s="6"/>
      <c r="I30" s="6"/>
      <c r="J30" s="6"/>
    </row>
    <row r="31" spans="1:11" x14ac:dyDescent="0.35">
      <c r="A31" s="4" t="s">
        <v>101</v>
      </c>
      <c r="B31" s="6"/>
      <c r="C31" s="6"/>
      <c r="D31" s="6"/>
      <c r="E31" s="6"/>
      <c r="F31" s="6"/>
      <c r="G31" s="6"/>
      <c r="H31" s="6"/>
      <c r="I31" s="6"/>
      <c r="J31" s="6"/>
    </row>
    <row r="32" spans="1:11" x14ac:dyDescent="0.35">
      <c r="B32" s="11" t="s">
        <v>81</v>
      </c>
      <c r="C32" s="11" t="s">
        <v>181</v>
      </c>
    </row>
    <row r="33" spans="1:3" x14ac:dyDescent="0.35">
      <c r="B33" s="10"/>
      <c r="C33" s="10" t="s">
        <v>107</v>
      </c>
    </row>
    <row r="34" spans="1:3" x14ac:dyDescent="0.35">
      <c r="B34" s="11" t="s">
        <v>80</v>
      </c>
      <c r="C34" s="11" t="s">
        <v>181</v>
      </c>
    </row>
    <row r="35" spans="1:3" x14ac:dyDescent="0.35">
      <c r="B35" s="10"/>
      <c r="C35" s="10" t="s">
        <v>107</v>
      </c>
    </row>
    <row r="36" spans="1:3" x14ac:dyDescent="0.35">
      <c r="B36" s="11" t="s">
        <v>79</v>
      </c>
      <c r="C36" s="11" t="s">
        <v>181</v>
      </c>
    </row>
    <row r="37" spans="1:3" x14ac:dyDescent="0.35">
      <c r="B37" s="10"/>
      <c r="C37" s="10" t="s">
        <v>107</v>
      </c>
    </row>
    <row r="38" spans="1:3" x14ac:dyDescent="0.35">
      <c r="B38" s="11" t="s">
        <v>78</v>
      </c>
      <c r="C38" s="11" t="s">
        <v>181</v>
      </c>
    </row>
    <row r="39" spans="1:3" x14ac:dyDescent="0.35">
      <c r="C39" s="10" t="s">
        <v>107</v>
      </c>
    </row>
    <row r="42" spans="1:3" ht="17.5" x14ac:dyDescent="0.35">
      <c r="A42" s="9" t="s">
        <v>91</v>
      </c>
    </row>
    <row r="44" spans="1:3" x14ac:dyDescent="0.35">
      <c r="A44" t="s">
        <v>82</v>
      </c>
    </row>
    <row r="45" spans="1:3" x14ac:dyDescent="0.35">
      <c r="A45" s="10"/>
    </row>
    <row r="46" spans="1:3" x14ac:dyDescent="0.35">
      <c r="A46" s="13" t="s">
        <v>83</v>
      </c>
      <c r="B46" s="11" t="s">
        <v>87</v>
      </c>
    </row>
    <row r="47" spans="1:3" x14ac:dyDescent="0.35">
      <c r="A47" s="10"/>
      <c r="B47" s="10"/>
    </row>
    <row r="48" spans="1:3" x14ac:dyDescent="0.35">
      <c r="A48" s="10"/>
      <c r="B48" s="10"/>
    </row>
    <row r="49" spans="1:2" x14ac:dyDescent="0.35">
      <c r="A49" s="10"/>
      <c r="B49" s="10"/>
    </row>
    <row r="50" spans="1:2" x14ac:dyDescent="0.35">
      <c r="A50" s="10"/>
      <c r="B50" s="10"/>
    </row>
    <row r="51" spans="1:2" x14ac:dyDescent="0.35">
      <c r="A51" s="13" t="s">
        <v>84</v>
      </c>
      <c r="B51" s="11" t="s">
        <v>88</v>
      </c>
    </row>
    <row r="52" spans="1:2" x14ac:dyDescent="0.35">
      <c r="A52" s="10"/>
      <c r="B52" s="10"/>
    </row>
    <row r="53" spans="1:2" x14ac:dyDescent="0.35">
      <c r="A53" s="10"/>
      <c r="B53" s="10"/>
    </row>
    <row r="54" spans="1:2" x14ac:dyDescent="0.35">
      <c r="A54" s="13" t="s">
        <v>85</v>
      </c>
      <c r="B54" s="11" t="s">
        <v>89</v>
      </c>
    </row>
    <row r="55" spans="1:2" x14ac:dyDescent="0.35">
      <c r="A55" s="10"/>
      <c r="B55" s="10"/>
    </row>
    <row r="56" spans="1:2" x14ac:dyDescent="0.35">
      <c r="A56" s="10"/>
      <c r="B56" s="10"/>
    </row>
    <row r="57" spans="1:2" x14ac:dyDescent="0.35">
      <c r="A57" s="10"/>
      <c r="B57" s="10"/>
    </row>
    <row r="58" spans="1:2" x14ac:dyDescent="0.35">
      <c r="A58" s="13" t="s">
        <v>86</v>
      </c>
      <c r="B58" s="11" t="s">
        <v>90</v>
      </c>
    </row>
    <row r="63" spans="1:2" ht="17.5" x14ac:dyDescent="0.35">
      <c r="A63" s="9" t="s">
        <v>102</v>
      </c>
    </row>
    <row r="65" spans="1:2" x14ac:dyDescent="0.35">
      <c r="A65" t="s">
        <v>82</v>
      </c>
    </row>
    <row r="66" spans="1:2" x14ac:dyDescent="0.35">
      <c r="A66" s="10"/>
    </row>
    <row r="67" spans="1:2" x14ac:dyDescent="0.35">
      <c r="A67" s="13" t="s">
        <v>83</v>
      </c>
      <c r="B67" s="11"/>
    </row>
    <row r="68" spans="1:2" x14ac:dyDescent="0.35">
      <c r="A68" s="13" t="s">
        <v>84</v>
      </c>
      <c r="B68" s="11"/>
    </row>
    <row r="69" spans="1:2" x14ac:dyDescent="0.35">
      <c r="A69" s="13" t="s">
        <v>85</v>
      </c>
      <c r="B69" s="11"/>
    </row>
    <row r="70" spans="1:2" x14ac:dyDescent="0.35">
      <c r="A70" s="13" t="s">
        <v>86</v>
      </c>
      <c r="B70" s="11"/>
    </row>
    <row r="72" spans="1:2" x14ac:dyDescent="0.35">
      <c r="A72" s="10"/>
    </row>
    <row r="73" spans="1:2" x14ac:dyDescent="0.35">
      <c r="A73" s="10"/>
    </row>
    <row r="74" spans="1:2" x14ac:dyDescent="0.35">
      <c r="A74" s="10"/>
    </row>
    <row r="75" spans="1:2" x14ac:dyDescent="0.35">
      <c r="A75" s="10"/>
    </row>
  </sheetData>
  <mergeCells count="34">
    <mergeCell ref="B28:J28"/>
    <mergeCell ref="B29:J29"/>
    <mergeCell ref="E15:H15"/>
    <mergeCell ref="I15:K15"/>
    <mergeCell ref="B16:D16"/>
    <mergeCell ref="E16:H16"/>
    <mergeCell ref="I16:K16"/>
    <mergeCell ref="B18:D18"/>
    <mergeCell ref="E18:H18"/>
    <mergeCell ref="I18:K18"/>
    <mergeCell ref="I19:K19"/>
    <mergeCell ref="I20:K20"/>
    <mergeCell ref="B27:J27"/>
    <mergeCell ref="B25:J25"/>
    <mergeCell ref="B26:J26"/>
    <mergeCell ref="B19:D19"/>
    <mergeCell ref="E14:H14"/>
    <mergeCell ref="B13:D13"/>
    <mergeCell ref="E13:H13"/>
    <mergeCell ref="E17:H17"/>
    <mergeCell ref="A1:J1"/>
    <mergeCell ref="B3:J3"/>
    <mergeCell ref="B8:J8"/>
    <mergeCell ref="B14:D14"/>
    <mergeCell ref="B4:J4"/>
    <mergeCell ref="B5:J5"/>
    <mergeCell ref="B9:J9"/>
    <mergeCell ref="I13:K13"/>
    <mergeCell ref="I14:K14"/>
    <mergeCell ref="I17:K17"/>
    <mergeCell ref="B17:D17"/>
    <mergeCell ref="B20:D20"/>
    <mergeCell ref="E20:H20"/>
    <mergeCell ref="E19:H1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2CF21-4C9F-4B5C-96E5-79710E112BC7}">
  <dimension ref="A1:D9"/>
  <sheetViews>
    <sheetView workbookViewId="0">
      <selection activeCell="D3" sqref="D3:D4"/>
    </sheetView>
  </sheetViews>
  <sheetFormatPr defaultRowHeight="14.5" x14ac:dyDescent="0.35"/>
  <cols>
    <col min="1" max="1" width="22.6328125" bestFit="1" customWidth="1"/>
    <col min="2" max="2" width="28.90625" bestFit="1" customWidth="1"/>
    <col min="3" max="3" width="84.90625" customWidth="1"/>
    <col min="4" max="4" width="168.08984375" bestFit="1" customWidth="1"/>
  </cols>
  <sheetData>
    <row r="1" spans="1:4" ht="17.5" x14ac:dyDescent="0.35">
      <c r="A1" s="9" t="s">
        <v>64</v>
      </c>
    </row>
    <row r="2" spans="1:4" x14ac:dyDescent="0.35">
      <c r="A2" s="10"/>
      <c r="C2" s="8" t="s">
        <v>66</v>
      </c>
    </row>
    <row r="3" spans="1:4" x14ac:dyDescent="0.35">
      <c r="A3" s="12" t="str">
        <f>"1."</f>
        <v>1.</v>
      </c>
      <c r="B3" s="11" t="s">
        <v>103</v>
      </c>
      <c r="C3" s="4"/>
      <c r="D3" s="4"/>
    </row>
    <row r="4" spans="1:4" x14ac:dyDescent="0.35">
      <c r="A4" s="12" t="str">
        <f>"2."</f>
        <v>2.</v>
      </c>
      <c r="B4" s="11" t="s">
        <v>2</v>
      </c>
      <c r="C4" s="4"/>
      <c r="D4" s="4"/>
    </row>
    <row r="5" spans="1:4" x14ac:dyDescent="0.35">
      <c r="A5" s="12" t="str">
        <f>"3."</f>
        <v>3.</v>
      </c>
      <c r="B5" s="11" t="s">
        <v>67</v>
      </c>
      <c r="C5" s="4"/>
    </row>
    <row r="6" spans="1:4" x14ac:dyDescent="0.35">
      <c r="A6" s="12" t="str">
        <f>"4."</f>
        <v>4.</v>
      </c>
      <c r="B6" s="11" t="s">
        <v>104</v>
      </c>
      <c r="C6" s="4"/>
    </row>
    <row r="7" spans="1:4" x14ac:dyDescent="0.35">
      <c r="A7" s="12" t="str">
        <f>"5."</f>
        <v>5.</v>
      </c>
      <c r="B7" s="11" t="s">
        <v>105</v>
      </c>
      <c r="C7" s="4"/>
    </row>
    <row r="8" spans="1:4" x14ac:dyDescent="0.35">
      <c r="A8" s="12" t="str">
        <f>"6."</f>
        <v>6.</v>
      </c>
      <c r="B8" s="11" t="s">
        <v>68</v>
      </c>
      <c r="C8" s="1"/>
    </row>
    <row r="9" spans="1:4" x14ac:dyDescent="0.35">
      <c r="A9" s="12"/>
      <c r="B9" s="11"/>
      <c r="C9"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10F7B-5DB1-422F-8889-F7A5F6E88F08}">
  <sheetPr codeName="Sheet1"/>
  <dimension ref="A1:C11"/>
  <sheetViews>
    <sheetView workbookViewId="0">
      <selection activeCell="C3" sqref="C3"/>
    </sheetView>
  </sheetViews>
  <sheetFormatPr defaultRowHeight="14.5" x14ac:dyDescent="0.35"/>
  <cols>
    <col min="1" max="1" width="18.08984375" bestFit="1" customWidth="1"/>
    <col min="2" max="2" width="79" bestFit="1" customWidth="1"/>
  </cols>
  <sheetData>
    <row r="1" spans="1:3" x14ac:dyDescent="0.35">
      <c r="A1" t="s">
        <v>1</v>
      </c>
      <c r="B1" t="s">
        <v>106</v>
      </c>
      <c r="C1" t="s">
        <v>107</v>
      </c>
    </row>
    <row r="3" spans="1:3" x14ac:dyDescent="0.35">
      <c r="B3" t="s">
        <v>163</v>
      </c>
    </row>
    <row r="4" spans="1:3" x14ac:dyDescent="0.35">
      <c r="B4" t="s">
        <v>164</v>
      </c>
    </row>
    <row r="5" spans="1:3" x14ac:dyDescent="0.35">
      <c r="B5" t="s">
        <v>165</v>
      </c>
    </row>
    <row r="6" spans="1:3" x14ac:dyDescent="0.35">
      <c r="B6" t="s">
        <v>166</v>
      </c>
    </row>
    <row r="7" spans="1:3" x14ac:dyDescent="0.35">
      <c r="B7" t="s">
        <v>167</v>
      </c>
    </row>
    <row r="8" spans="1:3" x14ac:dyDescent="0.35">
      <c r="B8" t="s">
        <v>168</v>
      </c>
    </row>
    <row r="9" spans="1:3" x14ac:dyDescent="0.35">
      <c r="B9" t="s">
        <v>169</v>
      </c>
    </row>
    <row r="10" spans="1:3" x14ac:dyDescent="0.35">
      <c r="B10" t="s">
        <v>170</v>
      </c>
    </row>
    <row r="11" spans="1:3" x14ac:dyDescent="0.35">
      <c r="B11" t="s">
        <v>171</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8407-3911-466D-A7AC-0E44A9BE014A}">
  <sheetPr codeName="Sheet2"/>
  <dimension ref="A1:D186"/>
  <sheetViews>
    <sheetView topLeftCell="A152" workbookViewId="0">
      <selection activeCell="A183" sqref="A183:A189"/>
    </sheetView>
  </sheetViews>
  <sheetFormatPr defaultRowHeight="14.5" x14ac:dyDescent="0.35"/>
  <cols>
    <col min="1" max="1" width="15.453125" customWidth="1"/>
    <col min="2" max="2" width="121.453125" customWidth="1"/>
    <col min="3" max="3" width="21.81640625" customWidth="1"/>
    <col min="4" max="4" width="35.81640625" customWidth="1"/>
  </cols>
  <sheetData>
    <row r="1" spans="1:4" x14ac:dyDescent="0.35">
      <c r="A1" s="18" t="s">
        <v>108</v>
      </c>
      <c r="B1" s="18" t="s">
        <v>111</v>
      </c>
      <c r="C1" s="18" t="s">
        <v>112</v>
      </c>
      <c r="D1" s="18" t="s">
        <v>113</v>
      </c>
    </row>
    <row r="2" spans="1:4" x14ac:dyDescent="0.35">
      <c r="A2" s="16" t="s">
        <v>162</v>
      </c>
      <c r="B2" s="17"/>
      <c r="C2" s="17"/>
      <c r="D2" s="17"/>
    </row>
    <row r="3" spans="1:4" x14ac:dyDescent="0.35">
      <c r="A3" s="15" t="s">
        <v>123</v>
      </c>
      <c r="B3" s="15"/>
      <c r="C3" s="15" t="s">
        <v>114</v>
      </c>
      <c r="D3" s="15"/>
    </row>
    <row r="4" spans="1:4" x14ac:dyDescent="0.35">
      <c r="A4" s="15" t="s">
        <v>160</v>
      </c>
      <c r="B4" s="15"/>
      <c r="C4" s="15" t="s">
        <v>114</v>
      </c>
      <c r="D4" s="15"/>
    </row>
    <row r="5" spans="1:4" x14ac:dyDescent="0.35">
      <c r="A5" s="15" t="s">
        <v>161</v>
      </c>
      <c r="B5" s="15"/>
      <c r="C5" s="15"/>
      <c r="D5" s="15"/>
    </row>
    <row r="6" spans="1:4" x14ac:dyDescent="0.35">
      <c r="A6" s="15" t="s">
        <v>124</v>
      </c>
      <c r="B6" s="15"/>
      <c r="C6" s="15" t="s">
        <v>110</v>
      </c>
      <c r="D6" s="15"/>
    </row>
    <row r="7" spans="1:4" x14ac:dyDescent="0.35">
      <c r="A7" s="15" t="s">
        <v>125</v>
      </c>
      <c r="B7" s="15"/>
      <c r="C7" s="15" t="s">
        <v>115</v>
      </c>
      <c r="D7" s="15"/>
    </row>
    <row r="8" spans="1:4" x14ac:dyDescent="0.35">
      <c r="A8" s="15" t="s">
        <v>126</v>
      </c>
      <c r="B8" s="15"/>
      <c r="C8" s="15" t="s">
        <v>116</v>
      </c>
      <c r="D8" s="15"/>
    </row>
    <row r="9" spans="1:4" x14ac:dyDescent="0.35">
      <c r="A9" s="15" t="s">
        <v>127</v>
      </c>
      <c r="B9" s="15"/>
      <c r="C9" s="15" t="s">
        <v>110</v>
      </c>
      <c r="D9" s="15"/>
    </row>
    <row r="10" spans="1:4" x14ac:dyDescent="0.35">
      <c r="A10" s="15" t="s">
        <v>128</v>
      </c>
      <c r="B10" s="15"/>
      <c r="C10" s="15" t="s">
        <v>110</v>
      </c>
      <c r="D10" s="15"/>
    </row>
    <row r="11" spans="1:4" x14ac:dyDescent="0.35">
      <c r="A11" s="15" t="s">
        <v>157</v>
      </c>
      <c r="B11" s="15"/>
      <c r="C11" s="15"/>
      <c r="D11" s="15"/>
    </row>
    <row r="12" spans="1:4" x14ac:dyDescent="0.35">
      <c r="A12" s="15" t="s">
        <v>158</v>
      </c>
      <c r="B12" s="15"/>
      <c r="C12" s="15"/>
      <c r="D12" s="15"/>
    </row>
    <row r="13" spans="1:4" x14ac:dyDescent="0.35">
      <c r="A13" s="15" t="s">
        <v>159</v>
      </c>
      <c r="B13" s="15"/>
      <c r="C13" s="15"/>
      <c r="D13" s="15"/>
    </row>
    <row r="14" spans="1:4" x14ac:dyDescent="0.35">
      <c r="A14" s="15" t="s">
        <v>129</v>
      </c>
      <c r="B14" s="15"/>
      <c r="C14" s="15" t="s">
        <v>117</v>
      </c>
      <c r="D14" s="15"/>
    </row>
    <row r="15" spans="1:4" x14ac:dyDescent="0.35">
      <c r="A15" s="15" t="s">
        <v>130</v>
      </c>
      <c r="B15" s="15"/>
      <c r="C15" s="15" t="s">
        <v>117</v>
      </c>
      <c r="D15" s="15"/>
    </row>
    <row r="16" spans="1:4" x14ac:dyDescent="0.35">
      <c r="A16" s="15" t="s">
        <v>143</v>
      </c>
      <c r="B16" s="15"/>
      <c r="C16" s="15" t="s">
        <v>118</v>
      </c>
      <c r="D16" s="15"/>
    </row>
    <row r="17" spans="1:4" x14ac:dyDescent="0.35">
      <c r="A17" s="15" t="s">
        <v>147</v>
      </c>
      <c r="B17" s="15"/>
      <c r="C17" s="15" t="s">
        <v>118</v>
      </c>
      <c r="D17" s="15"/>
    </row>
    <row r="18" spans="1:4" x14ac:dyDescent="0.35">
      <c r="A18" s="15" t="s">
        <v>148</v>
      </c>
      <c r="B18" s="15"/>
      <c r="C18" s="15" t="s">
        <v>118</v>
      </c>
      <c r="D18" s="15"/>
    </row>
    <row r="20" spans="1:4" x14ac:dyDescent="0.35">
      <c r="A20" s="15" t="s">
        <v>149</v>
      </c>
    </row>
    <row r="21" spans="1:4" x14ac:dyDescent="0.35">
      <c r="C21" t="s">
        <v>16</v>
      </c>
    </row>
    <row r="22" spans="1:4" x14ac:dyDescent="0.35">
      <c r="C22" t="s">
        <v>11</v>
      </c>
    </row>
    <row r="23" spans="1:4" x14ac:dyDescent="0.35">
      <c r="C23" t="s">
        <v>12</v>
      </c>
    </row>
    <row r="24" spans="1:4" x14ac:dyDescent="0.35">
      <c r="C24" t="s">
        <v>13</v>
      </c>
    </row>
    <row r="25" spans="1:4" x14ac:dyDescent="0.35">
      <c r="C25" t="s">
        <v>14</v>
      </c>
    </row>
    <row r="26" spans="1:4" x14ac:dyDescent="0.35">
      <c r="C26" t="s">
        <v>15</v>
      </c>
    </row>
    <row r="28" spans="1:4" x14ac:dyDescent="0.35">
      <c r="A28" s="16" t="s">
        <v>120</v>
      </c>
      <c r="B28" s="17"/>
      <c r="C28" s="17"/>
      <c r="D28" s="17"/>
    </row>
    <row r="29" spans="1:4" x14ac:dyDescent="0.35">
      <c r="A29" s="15" t="s">
        <v>131</v>
      </c>
      <c r="B29" s="15"/>
      <c r="C29" s="15" t="s">
        <v>109</v>
      </c>
      <c r="D29" s="15"/>
    </row>
    <row r="30" spans="1:4" x14ac:dyDescent="0.35">
      <c r="A30" s="15" t="s">
        <v>132</v>
      </c>
      <c r="B30" s="15"/>
      <c r="C30" s="15" t="s">
        <v>117</v>
      </c>
      <c r="D30" s="15"/>
    </row>
    <row r="31" spans="1:4" x14ac:dyDescent="0.35">
      <c r="A31" s="15" t="s">
        <v>133</v>
      </c>
      <c r="B31" s="15"/>
      <c r="C31" s="15" t="s">
        <v>118</v>
      </c>
      <c r="D31" s="15"/>
    </row>
    <row r="32" spans="1:4" x14ac:dyDescent="0.35">
      <c r="A32" s="15" t="s">
        <v>134</v>
      </c>
      <c r="B32" s="15"/>
      <c r="C32" s="15" t="s">
        <v>119</v>
      </c>
      <c r="D32" s="15"/>
    </row>
    <row r="33" spans="1:4" x14ac:dyDescent="0.35">
      <c r="A33" s="15" t="s">
        <v>144</v>
      </c>
      <c r="B33" s="15"/>
      <c r="C33" s="15" t="s">
        <v>119</v>
      </c>
      <c r="D33" s="15"/>
    </row>
    <row r="35" spans="1:4" x14ac:dyDescent="0.35">
      <c r="A35" s="16" t="s">
        <v>121</v>
      </c>
      <c r="B35" s="17"/>
      <c r="C35" s="17"/>
      <c r="D35" s="17"/>
    </row>
    <row r="36" spans="1:4" x14ac:dyDescent="0.35">
      <c r="A36" s="15" t="s">
        <v>135</v>
      </c>
      <c r="B36" s="15"/>
    </row>
    <row r="37" spans="1:4" x14ac:dyDescent="0.35">
      <c r="A37" s="15" t="s">
        <v>135</v>
      </c>
      <c r="B37" s="15"/>
      <c r="C37" s="15" t="s">
        <v>109</v>
      </c>
      <c r="D37" s="15"/>
    </row>
    <row r="38" spans="1:4" x14ac:dyDescent="0.35">
      <c r="A38" s="15" t="s">
        <v>136</v>
      </c>
      <c r="B38" s="15"/>
      <c r="C38" s="15"/>
      <c r="D38" s="15"/>
    </row>
    <row r="45" spans="1:4" x14ac:dyDescent="0.35">
      <c r="B45" s="15"/>
    </row>
    <row r="46" spans="1:4" x14ac:dyDescent="0.35">
      <c r="A46" s="15" t="s">
        <v>137</v>
      </c>
      <c r="B46" s="15"/>
      <c r="C46" s="15" t="s">
        <v>118</v>
      </c>
      <c r="D46" s="15"/>
    </row>
    <row r="52" spans="1:4" x14ac:dyDescent="0.35">
      <c r="C52" t="s">
        <v>10</v>
      </c>
    </row>
    <row r="53" spans="1:4" x14ac:dyDescent="0.35">
      <c r="A53" s="15" t="s">
        <v>138</v>
      </c>
      <c r="B53" s="15"/>
      <c r="C53" s="15" t="s">
        <v>109</v>
      </c>
      <c r="D53" s="15"/>
    </row>
    <row r="54" spans="1:4" x14ac:dyDescent="0.35">
      <c r="A54" s="15"/>
      <c r="B54" s="15"/>
      <c r="C54" s="15" t="s">
        <v>109</v>
      </c>
      <c r="D54" s="15"/>
    </row>
    <row r="56" spans="1:4" x14ac:dyDescent="0.35">
      <c r="A56" s="16" t="s">
        <v>122</v>
      </c>
      <c r="B56" s="17"/>
      <c r="C56" s="17"/>
      <c r="D56" s="17"/>
    </row>
    <row r="57" spans="1:4" x14ac:dyDescent="0.35">
      <c r="A57" s="15" t="s">
        <v>139</v>
      </c>
      <c r="B57" s="15"/>
      <c r="C57" s="15" t="s">
        <v>109</v>
      </c>
      <c r="D57" s="15"/>
    </row>
    <row r="58" spans="1:4" x14ac:dyDescent="0.35">
      <c r="A58" s="15" t="s">
        <v>140</v>
      </c>
      <c r="B58" s="15"/>
      <c r="C58" s="15"/>
      <c r="D58" s="15"/>
    </row>
    <row r="59" spans="1:4" x14ac:dyDescent="0.35">
      <c r="A59" s="15" t="s">
        <v>141</v>
      </c>
      <c r="B59" s="15"/>
      <c r="C59" s="15"/>
      <c r="D59" s="15"/>
    </row>
    <row r="60" spans="1:4" x14ac:dyDescent="0.35">
      <c r="A60" s="15" t="s">
        <v>142</v>
      </c>
      <c r="B60" s="15"/>
      <c r="C60" s="15"/>
      <c r="D60" s="15"/>
    </row>
    <row r="61" spans="1:4" x14ac:dyDescent="0.35">
      <c r="A61" s="15" t="s">
        <v>145</v>
      </c>
      <c r="B61" s="15"/>
      <c r="C61" s="15" t="s">
        <v>117</v>
      </c>
      <c r="D61" s="15"/>
    </row>
    <row r="62" spans="1:4" x14ac:dyDescent="0.35">
      <c r="A62" s="15" t="s">
        <v>150</v>
      </c>
    </row>
    <row r="75" spans="1:3" x14ac:dyDescent="0.35">
      <c r="A75" s="15" t="s">
        <v>151</v>
      </c>
      <c r="B75" s="3" t="s">
        <v>7</v>
      </c>
    </row>
    <row r="76" spans="1:3" x14ac:dyDescent="0.35">
      <c r="B76" s="3"/>
    </row>
    <row r="77" spans="1:3" x14ac:dyDescent="0.35">
      <c r="B77" s="3"/>
      <c r="C77" s="3"/>
    </row>
    <row r="78" spans="1:3" x14ac:dyDescent="0.35">
      <c r="B78" s="3"/>
    </row>
    <row r="79" spans="1:3" x14ac:dyDescent="0.35">
      <c r="B79" s="3"/>
    </row>
    <row r="80" spans="1:3" x14ac:dyDescent="0.35">
      <c r="B80" s="3"/>
    </row>
    <row r="81" spans="1:2" x14ac:dyDescent="0.35">
      <c r="B81" s="3"/>
    </row>
    <row r="82" spans="1:2" x14ac:dyDescent="0.35">
      <c r="B82" s="3"/>
    </row>
    <row r="83" spans="1:2" x14ac:dyDescent="0.35">
      <c r="B83" s="3"/>
    </row>
    <row r="84" spans="1:2" x14ac:dyDescent="0.35">
      <c r="B84" s="3"/>
    </row>
    <row r="85" spans="1:2" x14ac:dyDescent="0.35">
      <c r="A85" s="15" t="s">
        <v>152</v>
      </c>
      <c r="B85" t="s">
        <v>0</v>
      </c>
    </row>
    <row r="97" spans="1:3" x14ac:dyDescent="0.35">
      <c r="A97" s="15" t="s">
        <v>153</v>
      </c>
      <c r="B97" t="s">
        <v>6</v>
      </c>
    </row>
    <row r="99" spans="1:3" x14ac:dyDescent="0.35">
      <c r="C99" s="2"/>
    </row>
    <row r="103" spans="1:3" x14ac:dyDescent="0.35">
      <c r="A103" s="15" t="s">
        <v>154</v>
      </c>
      <c r="B103" t="s">
        <v>3</v>
      </c>
    </row>
    <row r="104" spans="1:3" x14ac:dyDescent="0.35">
      <c r="C104" s="3"/>
    </row>
    <row r="137" spans="1:3" x14ac:dyDescent="0.35">
      <c r="A137" s="15" t="s">
        <v>155</v>
      </c>
      <c r="B137" t="s">
        <v>5</v>
      </c>
    </row>
    <row r="143" spans="1:3" x14ac:dyDescent="0.35">
      <c r="C143" s="2"/>
    </row>
    <row r="150" spans="1:2" x14ac:dyDescent="0.35">
      <c r="A150" s="15" t="s">
        <v>156</v>
      </c>
      <c r="B150" t="s">
        <v>4</v>
      </c>
    </row>
    <row r="177" spans="1:4" x14ac:dyDescent="0.35">
      <c r="A177" s="15" t="s">
        <v>141</v>
      </c>
      <c r="B177" s="15"/>
      <c r="C177" s="15"/>
      <c r="D177" s="15"/>
    </row>
    <row r="178" spans="1:4" x14ac:dyDescent="0.35">
      <c r="A178" s="15" t="s">
        <v>142</v>
      </c>
      <c r="B178" s="15"/>
      <c r="C178" s="15"/>
      <c r="D178" s="15"/>
    </row>
    <row r="179" spans="1:4" x14ac:dyDescent="0.35">
      <c r="A179" s="15" t="s">
        <v>145</v>
      </c>
      <c r="C179" s="15"/>
      <c r="D179" s="15"/>
    </row>
    <row r="180" spans="1:4" x14ac:dyDescent="0.35">
      <c r="A180" s="15" t="s">
        <v>146</v>
      </c>
      <c r="C180" s="15"/>
      <c r="D180" s="15"/>
    </row>
    <row r="182" spans="1:4" x14ac:dyDescent="0.35">
      <c r="A182" s="3" t="s">
        <v>75</v>
      </c>
    </row>
    <row r="183" spans="1:4" x14ac:dyDescent="0.35">
      <c r="A183" s="10"/>
    </row>
    <row r="184" spans="1:4" x14ac:dyDescent="0.35">
      <c r="A184" s="10"/>
    </row>
    <row r="185" spans="1:4" x14ac:dyDescent="0.35">
      <c r="A185" s="10"/>
    </row>
    <row r="186" spans="1:4" x14ac:dyDescent="0.35">
      <c r="A186" s="10"/>
    </row>
  </sheetData>
  <phoneticPr fontId="9"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779C4-2161-44CD-B06D-F956009E552C}">
  <sheetPr codeName="Sheet3"/>
  <dimension ref="A1:A37"/>
  <sheetViews>
    <sheetView workbookViewId="0">
      <selection activeCell="A36" sqref="A1:A36"/>
    </sheetView>
  </sheetViews>
  <sheetFormatPr defaultRowHeight="14.5" x14ac:dyDescent="0.35"/>
  <cols>
    <col min="1" max="1" width="83.90625" customWidth="1"/>
  </cols>
  <sheetData>
    <row r="1" spans="1:1" x14ac:dyDescent="0.35">
      <c r="A1" s="4"/>
    </row>
    <row r="37" spans="1:1" x14ac:dyDescent="0.35">
      <c r="A37" t="s">
        <v>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22DC-C803-47DB-885E-09B11497E6FD}">
  <sheetPr codeName="Sheet4"/>
  <dimension ref="A1"/>
  <sheetViews>
    <sheetView workbookViewId="0"/>
  </sheetViews>
  <sheetFormatPr defaultRowHeight="14.5" x14ac:dyDescent="0.35"/>
  <cols>
    <col min="1" max="1" width="77.453125" customWidth="1"/>
  </cols>
  <sheetData>
    <row r="1" spans="1:1" x14ac:dyDescent="0.35">
      <c r="A1"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B758D-E2C2-4BA1-BDF8-78D8F04BBE51}">
  <sheetPr codeName="Sheet5"/>
  <dimension ref="A1:A44"/>
  <sheetViews>
    <sheetView workbookViewId="0">
      <selection activeCell="A5" sqref="A5"/>
    </sheetView>
  </sheetViews>
  <sheetFormatPr defaultRowHeight="14.5" x14ac:dyDescent="0.35"/>
  <cols>
    <col min="1" max="1" width="89" customWidth="1"/>
  </cols>
  <sheetData>
    <row r="1" spans="1:1" x14ac:dyDescent="0.35">
      <c r="A1" s="4" t="s">
        <v>182</v>
      </c>
    </row>
    <row r="2" spans="1:1" x14ac:dyDescent="0.35">
      <c r="A2" s="5" t="s">
        <v>183</v>
      </c>
    </row>
    <row r="4" spans="1:1" x14ac:dyDescent="0.35">
      <c r="A4" t="s">
        <v>17</v>
      </c>
    </row>
    <row r="5" spans="1:1" x14ac:dyDescent="0.35">
      <c r="A5" t="s">
        <v>18</v>
      </c>
    </row>
    <row r="6" spans="1:1" x14ac:dyDescent="0.35">
      <c r="A6" t="s">
        <v>19</v>
      </c>
    </row>
    <row r="7" spans="1:1" x14ac:dyDescent="0.35">
      <c r="A7" t="s">
        <v>20</v>
      </c>
    </row>
    <row r="8" spans="1:1" x14ac:dyDescent="0.35">
      <c r="A8" t="s">
        <v>21</v>
      </c>
    </row>
    <row r="9" spans="1:1" x14ac:dyDescent="0.35">
      <c r="A9" t="s">
        <v>22</v>
      </c>
    </row>
    <row r="10" spans="1:1" x14ac:dyDescent="0.35">
      <c r="A10" t="s">
        <v>23</v>
      </c>
    </row>
    <row r="11" spans="1:1" x14ac:dyDescent="0.35">
      <c r="A11" t="s">
        <v>24</v>
      </c>
    </row>
    <row r="12" spans="1:1" x14ac:dyDescent="0.35">
      <c r="A12" t="s">
        <v>8</v>
      </c>
    </row>
    <row r="13" spans="1:1" x14ac:dyDescent="0.35">
      <c r="A13" t="s">
        <v>25</v>
      </c>
    </row>
    <row r="14" spans="1:1" x14ac:dyDescent="0.35">
      <c r="A14" t="s">
        <v>26</v>
      </c>
    </row>
    <row r="15" spans="1:1" x14ac:dyDescent="0.35">
      <c r="A15" t="s">
        <v>27</v>
      </c>
    </row>
    <row r="16" spans="1:1" x14ac:dyDescent="0.35">
      <c r="A16" t="s">
        <v>28</v>
      </c>
    </row>
    <row r="17" spans="1:1" x14ac:dyDescent="0.35">
      <c r="A17" t="s">
        <v>29</v>
      </c>
    </row>
    <row r="18" spans="1:1" x14ac:dyDescent="0.35">
      <c r="A18" t="s">
        <v>25</v>
      </c>
    </row>
    <row r="19" spans="1:1" x14ac:dyDescent="0.35">
      <c r="A19" t="s">
        <v>30</v>
      </c>
    </row>
    <row r="20" spans="1:1" x14ac:dyDescent="0.35">
      <c r="A20" t="s">
        <v>31</v>
      </c>
    </row>
    <row r="21" spans="1:1" x14ac:dyDescent="0.35">
      <c r="A21" t="s">
        <v>32</v>
      </c>
    </row>
    <row r="22" spans="1:1" x14ac:dyDescent="0.35">
      <c r="A22" t="s">
        <v>33</v>
      </c>
    </row>
    <row r="23" spans="1:1" x14ac:dyDescent="0.35">
      <c r="A23" t="s">
        <v>34</v>
      </c>
    </row>
    <row r="24" spans="1:1" x14ac:dyDescent="0.35">
      <c r="A24" t="s">
        <v>35</v>
      </c>
    </row>
    <row r="25" spans="1:1" x14ac:dyDescent="0.35">
      <c r="A25" t="s">
        <v>36</v>
      </c>
    </row>
    <row r="26" spans="1:1" x14ac:dyDescent="0.35">
      <c r="A26" t="s">
        <v>31</v>
      </c>
    </row>
    <row r="27" spans="1:1" x14ac:dyDescent="0.35">
      <c r="A27" t="s">
        <v>37</v>
      </c>
    </row>
    <row r="28" spans="1:1" x14ac:dyDescent="0.35">
      <c r="A28" t="s">
        <v>38</v>
      </c>
    </row>
    <row r="29" spans="1:1" x14ac:dyDescent="0.35">
      <c r="A29" t="s">
        <v>39</v>
      </c>
    </row>
    <row r="30" spans="1:1" x14ac:dyDescent="0.35">
      <c r="A30" t="s">
        <v>40</v>
      </c>
    </row>
    <row r="31" spans="1:1" x14ac:dyDescent="0.35">
      <c r="A31" t="s">
        <v>36</v>
      </c>
    </row>
    <row r="32" spans="1:1" x14ac:dyDescent="0.35">
      <c r="A32" t="s">
        <v>31</v>
      </c>
    </row>
    <row r="33" spans="1:1" x14ac:dyDescent="0.35">
      <c r="A33" t="s">
        <v>41</v>
      </c>
    </row>
    <row r="34" spans="1:1" x14ac:dyDescent="0.35">
      <c r="A34" t="s">
        <v>42</v>
      </c>
    </row>
    <row r="35" spans="1:1" x14ac:dyDescent="0.35">
      <c r="A35" t="s">
        <v>43</v>
      </c>
    </row>
    <row r="36" spans="1:1" x14ac:dyDescent="0.35">
      <c r="A36" t="s">
        <v>8</v>
      </c>
    </row>
    <row r="37" spans="1:1" x14ac:dyDescent="0.35">
      <c r="A37" t="s">
        <v>44</v>
      </c>
    </row>
    <row r="38" spans="1:1" x14ac:dyDescent="0.35">
      <c r="A38" t="s">
        <v>45</v>
      </c>
    </row>
    <row r="39" spans="1:1" x14ac:dyDescent="0.35">
      <c r="A39" t="s">
        <v>46</v>
      </c>
    </row>
    <row r="40" spans="1:1" x14ac:dyDescent="0.35">
      <c r="A40" t="s">
        <v>47</v>
      </c>
    </row>
    <row r="41" spans="1:1" x14ac:dyDescent="0.35">
      <c r="A41" t="s">
        <v>48</v>
      </c>
    </row>
    <row r="42" spans="1:1" x14ac:dyDescent="0.35">
      <c r="A42" t="s">
        <v>49</v>
      </c>
    </row>
    <row r="43" spans="1:1" x14ac:dyDescent="0.35">
      <c r="A43" t="s">
        <v>50</v>
      </c>
    </row>
    <row r="44" spans="1:1" x14ac:dyDescent="0.35">
      <c r="A44" t="s">
        <v>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493D4-98BD-4B00-9CDA-6616E54DDFF2}">
  <sheetPr codeName="Sheet6"/>
  <dimension ref="A1:A4"/>
  <sheetViews>
    <sheetView workbookViewId="0">
      <selection activeCell="A4" sqref="A4"/>
    </sheetView>
  </sheetViews>
  <sheetFormatPr defaultRowHeight="14.5" x14ac:dyDescent="0.35"/>
  <cols>
    <col min="1" max="1" width="89" customWidth="1"/>
  </cols>
  <sheetData>
    <row r="1" spans="1:1" x14ac:dyDescent="0.35">
      <c r="A1" s="4" t="s">
        <v>184</v>
      </c>
    </row>
    <row r="2" spans="1:1" ht="90" customHeight="1" x14ac:dyDescent="0.35">
      <c r="A2" s="4"/>
    </row>
    <row r="4" spans="1:1" x14ac:dyDescent="0.35">
      <c r="A4" t="s">
        <v>185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46578-8A90-4DBF-88C0-1527890AB6A6}">
  <sheetPr codeName="Sheet7"/>
  <dimension ref="A1:A2"/>
  <sheetViews>
    <sheetView workbookViewId="0">
      <selection activeCell="A3" sqref="A3:A10"/>
    </sheetView>
  </sheetViews>
  <sheetFormatPr defaultRowHeight="14.5" x14ac:dyDescent="0.35"/>
  <cols>
    <col min="1" max="1" width="89" customWidth="1"/>
  </cols>
  <sheetData>
    <row r="1" spans="1:1" x14ac:dyDescent="0.35">
      <c r="A1" s="4"/>
    </row>
    <row r="2" spans="1:1" ht="90" customHeight="1" x14ac:dyDescent="0.35">
      <c r="A2" s="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C204F-3982-4A68-8271-F9F7EC6778E8}">
  <dimension ref="A1:A9"/>
  <sheetViews>
    <sheetView topLeftCell="A10" workbookViewId="0">
      <selection activeCell="A10" sqref="A10:E62"/>
    </sheetView>
  </sheetViews>
  <sheetFormatPr defaultRowHeight="14.5" x14ac:dyDescent="0.35"/>
  <sheetData>
    <row r="1" spans="1:1" x14ac:dyDescent="0.35">
      <c r="A1" t="s">
        <v>61</v>
      </c>
    </row>
    <row r="3" spans="1:1" x14ac:dyDescent="0.35">
      <c r="A3" t="s">
        <v>54</v>
      </c>
    </row>
    <row r="4" spans="1:1" x14ac:dyDescent="0.35">
      <c r="A4" t="s">
        <v>55</v>
      </c>
    </row>
    <row r="5" spans="1:1" x14ac:dyDescent="0.35">
      <c r="A5" t="s">
        <v>56</v>
      </c>
    </row>
    <row r="6" spans="1:1" x14ac:dyDescent="0.35">
      <c r="A6" t="s">
        <v>57</v>
      </c>
    </row>
    <row r="7" spans="1:1" x14ac:dyDescent="0.35">
      <c r="A7" t="s">
        <v>58</v>
      </c>
    </row>
    <row r="8" spans="1:1" x14ac:dyDescent="0.35">
      <c r="A8" t="s">
        <v>59</v>
      </c>
    </row>
    <row r="9" spans="1:1" x14ac:dyDescent="0.35">
      <c r="A9" t="s">
        <v>60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FC023-D64E-4E58-ADDE-E7BA8D3CCB31}">
  <dimension ref="A2:A4"/>
  <sheetViews>
    <sheetView tabSelected="1" workbookViewId="0">
      <selection activeCell="B4" sqref="B4"/>
    </sheetView>
  </sheetViews>
  <sheetFormatPr defaultRowHeight="14.5" x14ac:dyDescent="0.35"/>
  <cols>
    <col min="2" max="2" width="17.54296875" bestFit="1" customWidth="1"/>
  </cols>
  <sheetData>
    <row r="2" spans="1:1" x14ac:dyDescent="0.35">
      <c r="A2" t="s">
        <v>72</v>
      </c>
    </row>
    <row r="3" spans="1:1" x14ac:dyDescent="0.35">
      <c r="A3" t="s">
        <v>73</v>
      </c>
    </row>
    <row r="4" spans="1:1" x14ac:dyDescent="0.35">
      <c r="A4" t="s">
        <v>99</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Documents List</vt:lpstr>
      <vt:lpstr>Mission-Value Statement</vt:lpstr>
      <vt:lpstr>StakeholderAnalysis</vt:lpstr>
      <vt:lpstr>Stakeholder Need</vt:lpstr>
      <vt:lpstr>RTVM</vt:lpstr>
      <vt:lpstr>Phase 1 - Tick_Based_PseudoCode</vt:lpstr>
      <vt:lpstr>Phase 2 - Event_Based_PseudoCod</vt:lpstr>
      <vt:lpstr>Sample Configuration File</vt:lpstr>
      <vt:lpstr>Sample Output File</vt:lpstr>
      <vt:lpstr>Sample Report File</vt:lpstr>
      <vt:lpstr>C# Scaffolding</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Simmons</dc:creator>
  <cp:lastModifiedBy>Kyle Simmons</cp:lastModifiedBy>
  <dcterms:created xsi:type="dcterms:W3CDTF">2025-12-07T00:31:35Z</dcterms:created>
  <dcterms:modified xsi:type="dcterms:W3CDTF">2026-08-04T12:49:52Z</dcterms:modified>
</cp:coreProperties>
</file>